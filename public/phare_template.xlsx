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usehold" sheetId="1" state="visible" r:id="rId3"/>
    <sheet name="Monthly Income" sheetId="2" state="visible" r:id="rId4"/>
    <sheet name="Fixed Expenses" sheetId="3" state="visible" r:id="rId5"/>
    <sheet name="Variable Expenses" sheetId="4" state="visible" r:id="rId6"/>
    <sheet name="Annual Expenses" sheetId="5" state="visible" r:id="rId7"/>
    <sheet name="Goal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<sst xmlns="http://schemas.openxmlformats.org/spreadsheetml/2006/main" count="182" uniqueCount="128">
  <si>
    <t xml:space="preserve">PHARE — Household Information / Information du ménage</t>
  </si>
  <si>
    <t xml:space="preserve">Field / Champ</t>
  </si>
  <si>
    <t xml:space="preserve">Your answer / Votre réponse</t>
  </si>
  <si>
    <t xml:space="preserve">Example / Exemple</t>
  </si>
  <si>
    <t xml:space="preserve">Notes</t>
  </si>
  <si>
    <t xml:space="preserve">Family name / Nom de famille</t>
  </si>
  <si>
    <t xml:space="preserve">Tremblay</t>
  </si>
  <si>
    <t xml:space="preserve">Province</t>
  </si>
  <si>
    <t xml:space="preserve">Quebec</t>
  </si>
  <si>
    <t xml:space="preserve">Important for tax context</t>
  </si>
  <si>
    <t xml:space="preserve">Number of adults / Nombre d'adultes</t>
  </si>
  <si>
    <t xml:space="preserve">2</t>
  </si>
  <si>
    <t xml:space="preserve">Number of children / Nombre d'enfants</t>
  </si>
  <si>
    <t xml:space="preserve">Ages help with RESP planning</t>
  </si>
  <si>
    <t xml:space="preserve">Children ages / Âges des enfants</t>
  </si>
  <si>
    <t xml:space="preserve">4, 8</t>
  </si>
  <si>
    <t xml:space="preserve">Combined annual income / Revenu annuel combiné</t>
  </si>
  <si>
    <t xml:space="preserve">120000</t>
  </si>
  <si>
    <t xml:space="preserve">Before tax / Avant impôt</t>
  </si>
  <si>
    <t xml:space="preserve">Member 1 name / Nom membre 1</t>
  </si>
  <si>
    <t xml:space="preserve">Julia</t>
  </si>
  <si>
    <t xml:space="preserve">Member 2 name / Nom membre 2</t>
  </si>
  <si>
    <t xml:space="preserve">Lineu</t>
  </si>
  <si>
    <t xml:space="preserve">Do you contribute to RRSP? / Contribuez-vous au REER?</t>
  </si>
  <si>
    <t xml:space="preserve">Yes / Oui</t>
  </si>
  <si>
    <t xml:space="preserve">Do you contribute to RESP? / Contribuez-vous au REEE?</t>
  </si>
  <si>
    <t xml:space="preserve">No / Non</t>
  </si>
  <si>
    <t xml:space="preserve">$500/yr CESG per child</t>
  </si>
  <si>
    <t xml:space="preserve">Do you have a TFSA? / Avez-vous un CELI?</t>
  </si>
  <si>
    <t xml:space="preserve">Credit line balance / Solde marge de crédit</t>
  </si>
  <si>
    <t xml:space="preserve">5200</t>
  </si>
  <si>
    <t xml:space="preserve">Employer province / Province de l'employeur</t>
  </si>
  <si>
    <t xml:space="preserve">Ontario</t>
  </si>
  <si>
    <t xml:space="preserve">Quebec + Ontario = tax gap</t>
  </si>
  <si>
    <t xml:space="preserve">MONTHLY INCOME / REVENU MENSUEL</t>
  </si>
  <si>
    <t xml:space="preserve">Source</t>
  </si>
  <si>
    <t xml:space="preserve">Member / Membre</t>
  </si>
  <si>
    <t xml:space="preserve">Amount / Montant</t>
  </si>
  <si>
    <t xml:space="preserve">Frequency / Fréquence</t>
  </si>
  <si>
    <t xml:space="preserve">Salary / Salaire</t>
  </si>
  <si>
    <t xml:space="preserve">Bi-weekly / Aux 2 semaines</t>
  </si>
  <si>
    <t xml:space="preserve">Net pay</t>
  </si>
  <si>
    <t xml:space="preserve">Child benefit / Allocation enfants</t>
  </si>
  <si>
    <t xml:space="preserve">Household</t>
  </si>
  <si>
    <t xml:space="preserve">Monthly / Mensuel</t>
  </si>
  <si>
    <t xml:space="preserve">CCB</t>
  </si>
  <si>
    <t xml:space="preserve">FIXED MONTHLY EXPENSES / DÉPENSES FIXES MENSUELLES</t>
  </si>
  <si>
    <t xml:space="preserve">Expense / Dépense</t>
  </si>
  <si>
    <t xml:space="preserve">Category / Catégorie</t>
  </si>
  <si>
    <t xml:space="preserve">Account / Compte</t>
  </si>
  <si>
    <t xml:space="preserve">Mortgage / Hypothèque</t>
  </si>
  <si>
    <t xml:space="preserve">Housing</t>
  </si>
  <si>
    <t xml:space="preserve">Chequing</t>
  </si>
  <si>
    <t xml:space="preserve">Car payment 1 / Paiement auto 1</t>
  </si>
  <si>
    <t xml:space="preserve">Transport</t>
  </si>
  <si>
    <t xml:space="preserve">Car payment 2 / Paiement auto 2</t>
  </si>
  <si>
    <t xml:space="preserve">Car insurance / Assurance auto</t>
  </si>
  <si>
    <t xml:space="preserve">Home insurance / Assurance maison</t>
  </si>
  <si>
    <t xml:space="preserve">Hydro Quebec</t>
  </si>
  <si>
    <t xml:space="preserve">Utilities</t>
  </si>
  <si>
    <t xml:space="preserve">Internet (Bell)</t>
  </si>
  <si>
    <t xml:space="preserve">Visa</t>
  </si>
  <si>
    <t xml:space="preserve">Phone (Rogers)</t>
  </si>
  <si>
    <t xml:space="preserve">Daycare / Garderie</t>
  </si>
  <si>
    <t xml:space="preserve">Childcare</t>
  </si>
  <si>
    <t xml:space="preserve">After school / Serv-gard</t>
  </si>
  <si>
    <t xml:space="preserve">Parking</t>
  </si>
  <si>
    <t xml:space="preserve">Spotify</t>
  </si>
  <si>
    <t xml:space="preserve">Subscriptions</t>
  </si>
  <si>
    <t xml:space="preserve">Amazon Kids</t>
  </si>
  <si>
    <t xml:space="preserve">Judo</t>
  </si>
  <si>
    <t xml:space="preserve">Activities</t>
  </si>
  <si>
    <t xml:space="preserve">Installment 3/12</t>
  </si>
  <si>
    <t xml:space="preserve">VARIABLE MONTHLY EXPENSES / DÉPENSES VARIABLES MENSUELLES</t>
  </si>
  <si>
    <t xml:space="preserve">Enter your typical monthly spending per category / Entrez vos dépenses mensuelles typiques par catégorie</t>
  </si>
  <si>
    <t xml:space="preserve">Budget / Budget</t>
  </si>
  <si>
    <t xml:space="preserve">Actual last month / Réel mois dernier</t>
  </si>
  <si>
    <t xml:space="preserve">Groceries / Épicerie</t>
  </si>
  <si>
    <t xml:space="preserve">Shared</t>
  </si>
  <si>
    <t xml:space="preserve">Maxi, Metro, IGA</t>
  </si>
  <si>
    <t xml:space="preserve">Restaurants</t>
  </si>
  <si>
    <t xml:space="preserve">Gas / Essence</t>
  </si>
  <si>
    <t xml:space="preserve">Pharmacy / Pharmacie</t>
  </si>
  <si>
    <t xml:space="preserve">Pharmaprix, Jean Coutu</t>
  </si>
  <si>
    <t xml:space="preserve">Clothing / Vêtements</t>
  </si>
  <si>
    <t xml:space="preserve">Kids activities / Activités enfants</t>
  </si>
  <si>
    <t xml:space="preserve">Personal / Personnel</t>
  </si>
  <si>
    <t xml:space="preserve">Household / Maison</t>
  </si>
  <si>
    <t xml:space="preserve">Dollarama, Canadian Tire</t>
  </si>
  <si>
    <t xml:space="preserve">Entertainment / Divertissement</t>
  </si>
  <si>
    <t xml:space="preserve">ANNUAL IRREGULAR EXPENSES / DÉPENSES ANNUELLES IRRÉGULIÈRES</t>
  </si>
  <si>
    <t xml:space="preserve">These are the expenses that hit your credit line. Phare will create sinking funds for each one.</t>
  </si>
  <si>
    <t xml:space="preserve">Ce sont les dépenses qui frappent votre marge de crédit. Phare créera un fonds de prévoyance pour chacune.</t>
  </si>
  <si>
    <t xml:space="preserve">Annual amount / Montant annuel</t>
  </si>
  <si>
    <t xml:space="preserve">Monthly provision</t>
  </si>
  <si>
    <t xml:space="preserve">Due month / Mois dû</t>
  </si>
  <si>
    <t xml:space="preserve">Property tax / Taxes municipales</t>
  </si>
  <si>
    <t xml:space="preserve">March &amp; June</t>
  </si>
  <si>
    <t xml:space="preserve">2 installments</t>
  </si>
  <si>
    <t xml:space="preserve">Car registration / Immatriculation</t>
  </si>
  <si>
    <t xml:space="preserve">September</t>
  </si>
  <si>
    <t xml:space="preserve">Income tax balance / Solde d'impôt</t>
  </si>
  <si>
    <t xml:space="preserve">April</t>
  </si>
  <si>
    <t xml:space="preserve">QC + ON tax gap</t>
  </si>
  <si>
    <t xml:space="preserve">Back to school / Rentrée scolaire</t>
  </si>
  <si>
    <t xml:space="preserve">August</t>
  </si>
  <si>
    <t xml:space="preserve">$400 per child</t>
  </si>
  <si>
    <t xml:space="preserve">Christmas / Noël</t>
  </si>
  <si>
    <t xml:space="preserve">December</t>
  </si>
  <si>
    <t xml:space="preserve">Car maintenance / Entretien auto</t>
  </si>
  <si>
    <t xml:space="preserve">Varies</t>
  </si>
  <si>
    <t xml:space="preserve">Tires, oil, repairs</t>
  </si>
  <si>
    <t xml:space="preserve">Home maintenance / Entretien maison</t>
  </si>
  <si>
    <t xml:space="preserve">TOTAL</t>
  </si>
  <si>
    <t xml:space="preserve">FINANCIAL GOALS / OBJECTIFS FINANCIERS</t>
  </si>
  <si>
    <t xml:space="preserve">Goal / Objectif</t>
  </si>
  <si>
    <t xml:space="preserve">Target amount / Montant cible</t>
  </si>
  <si>
    <t xml:space="preserve">Target date / Date cible</t>
  </si>
  <si>
    <t xml:space="preserve">Saved so far / Épargné</t>
  </si>
  <si>
    <t xml:space="preserve">Monthly contribution</t>
  </si>
  <si>
    <t xml:space="preserve">Pay off credit line / Rembourser marge</t>
  </si>
  <si>
    <t xml:space="preserve">September 2026</t>
  </si>
  <si>
    <t xml:space="preserve">Disney trip / Voyage Disney</t>
  </si>
  <si>
    <t xml:space="preserve">March 2028</t>
  </si>
  <si>
    <t xml:space="preserve">Brazil trip / Voyage Brésil</t>
  </si>
  <si>
    <t xml:space="preserve">July 2029</t>
  </si>
  <si>
    <t xml:space="preserve">Emergency fund / Fonds d'urgence</t>
  </si>
  <si>
    <t xml:space="preserve">December 2026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</si>
</sst>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204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374151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0F204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2044"/>
        <bgColor rgb="FF003300"/>
      </patternFill>
    </fill>
    <fill>
      <patternFill patternType="solid">
        <fgColor rgb="FFFFFF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F0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F2044"/>
      <rgbColor rgb="FF339966"/>
      <rgbColor rgb="FF003300"/>
      <rgbColor rgb="FF333300"/>
      <rgbColor rgb="FF993300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35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15" hidden="false" customHeight="false" outlineLevel="0" collapsed="false">
      <c r="A4" s="3" t="s">
        <v>5</v>
      </c>
      <c r="B4" s="3"/>
      <c r="C4" s="3" t="s">
        <v>6</v>
      </c>
      <c r="D4" s="3"/>
    </row>
    <row r="5" customFormat="false" ht="15" hidden="false" customHeight="false" outlineLevel="0" collapsed="false">
      <c r="A5" s="4" t="s">
        <v>7</v>
      </c>
      <c r="B5" s="4"/>
      <c r="C5" s="4" t="s">
        <v>8</v>
      </c>
      <c r="D5" s="4" t="s">
        <v>9</v>
      </c>
    </row>
    <row r="6" customFormat="false" ht="15" hidden="false" customHeight="false" outlineLevel="0" collapsed="false">
      <c r="A6" s="3" t="s">
        <v>10</v>
      </c>
      <c r="B6" s="3"/>
      <c r="C6" s="3" t="s">
        <v>11</v>
      </c>
      <c r="D6" s="3"/>
    </row>
    <row r="7" customFormat="false" ht="15" hidden="false" customHeight="false" outlineLevel="0" collapsed="false">
      <c r="A7" s="4" t="s">
        <v>12</v>
      </c>
      <c r="B7" s="4"/>
      <c r="C7" s="4" t="s">
        <v>11</v>
      </c>
      <c r="D7" s="4" t="s">
        <v>13</v>
      </c>
    </row>
    <row r="8" customFormat="false" ht="15" hidden="false" customHeight="false" outlineLevel="0" collapsed="false">
      <c r="A8" s="3" t="s">
        <v>14</v>
      </c>
      <c r="B8" s="3"/>
      <c r="C8" s="3" t="s">
        <v>15</v>
      </c>
      <c r="D8" s="3"/>
    </row>
    <row r="9" customFormat="false" ht="15" hidden="false" customHeight="false" outlineLevel="0" collapsed="false">
      <c r="A9" s="4" t="s">
        <v>16</v>
      </c>
      <c r="B9" s="4"/>
      <c r="C9" s="4" t="s">
        <v>17</v>
      </c>
      <c r="D9" s="4" t="s">
        <v>18</v>
      </c>
    </row>
    <row r="10" customFormat="false" ht="15" hidden="false" customHeight="false" outlineLevel="0" collapsed="false">
      <c r="A10" s="3" t="s">
        <v>19</v>
      </c>
      <c r="B10" s="3"/>
      <c r="C10" s="3" t="s">
        <v>20</v>
      </c>
      <c r="D10" s="3"/>
    </row>
    <row r="11" customFormat="false" ht="15" hidden="false" customHeight="false" outlineLevel="0" collapsed="false">
      <c r="A11" s="4" t="s">
        <v>21</v>
      </c>
      <c r="B11" s="4"/>
      <c r="C11" s="4" t="s">
        <v>22</v>
      </c>
      <c r="D11" s="4"/>
    </row>
    <row r="12" customFormat="false" ht="15" hidden="false" customHeight="false" outlineLevel="0" collapsed="false">
      <c r="A12" s="3"/>
      <c r="B12" s="3"/>
      <c r="C12" s="3"/>
      <c r="D12" s="3"/>
    </row>
    <row r="13" customFormat="false" ht="15" hidden="false" customHeight="false" outlineLevel="0" collapsed="false">
      <c r="A13" s="4" t="s">
        <v>23</v>
      </c>
      <c r="B13" s="4"/>
      <c r="C13" s="4" t="s">
        <v>24</v>
      </c>
      <c r="D13" s="4"/>
    </row>
    <row r="14" customFormat="false" ht="15" hidden="false" customHeight="false" outlineLevel="0" collapsed="false">
      <c r="A14" s="3" t="s">
        <v>25</v>
      </c>
      <c r="B14" s="3"/>
      <c r="C14" s="3" t="s">
        <v>26</v>
      </c>
      <c r="D14" s="3" t="s">
        <v>27</v>
      </c>
    </row>
    <row r="15" customFormat="false" ht="15" hidden="false" customHeight="false" outlineLevel="0" collapsed="false">
      <c r="A15" s="4" t="s">
        <v>28</v>
      </c>
      <c r="B15" s="4"/>
      <c r="C15" s="4" t="s">
        <v>24</v>
      </c>
      <c r="D15" s="4"/>
    </row>
    <row r="16" customFormat="false" ht="15" hidden="false" customHeight="false" outlineLevel="0" collapsed="false">
      <c r="A16" s="3" t="s">
        <v>29</v>
      </c>
      <c r="B16" s="3"/>
      <c r="C16" s="3" t="s">
        <v>30</v>
      </c>
      <c r="D16" s="3"/>
    </row>
    <row r="17" customFormat="false" ht="15" hidden="false" customHeight="false" outlineLevel="0" collapsed="false">
      <c r="A17" s="4" t="s">
        <v>31</v>
      </c>
      <c r="B17" s="4"/>
      <c r="C17" s="4" t="s">
        <v>32</v>
      </c>
      <c r="D17" s="4" t="s">
        <v>33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25"/>
  </cols>
  <sheetData>
    <row r="1" customFormat="false" ht="17.35" hidden="false" customHeight="false" outlineLevel="0" collapsed="false">
      <c r="A1" s="1" t="s">
        <v>34</v>
      </c>
      <c r="B1" s="1"/>
      <c r="C1" s="1"/>
      <c r="D1" s="1"/>
      <c r="E1" s="1"/>
    </row>
    <row r="3" customFormat="false" ht="15" hidden="false" customHeight="false" outlineLevel="0" collapsed="false">
      <c r="A3" s="2" t="s">
        <v>35</v>
      </c>
      <c r="B3" s="2" t="s">
        <v>36</v>
      </c>
      <c r="C3" s="2" t="s">
        <v>37</v>
      </c>
      <c r="D3" s="2" t="s">
        <v>38</v>
      </c>
      <c r="E3" s="2" t="s">
        <v>4</v>
      </c>
    </row>
    <row r="4" customFormat="false" ht="15" hidden="false" customHeight="false" outlineLevel="0" collapsed="false">
      <c r="A4" s="3" t="s">
        <v>39</v>
      </c>
      <c r="B4" s="3" t="s">
        <v>22</v>
      </c>
      <c r="C4" s="5" t="n">
        <v>2968.85</v>
      </c>
      <c r="D4" s="3" t="s">
        <v>40</v>
      </c>
      <c r="E4" s="3" t="s">
        <v>41</v>
      </c>
    </row>
    <row r="5" customFormat="false" ht="15" hidden="false" customHeight="false" outlineLevel="0" collapsed="false">
      <c r="A5" s="4" t="s">
        <v>39</v>
      </c>
      <c r="B5" s="4" t="s">
        <v>20</v>
      </c>
      <c r="C5" s="6" t="n">
        <v>2500</v>
      </c>
      <c r="D5" s="4" t="s">
        <v>40</v>
      </c>
      <c r="E5" s="4" t="s">
        <v>41</v>
      </c>
    </row>
    <row r="6" customFormat="false" ht="15" hidden="false" customHeight="false" outlineLevel="0" collapsed="false">
      <c r="A6" s="3" t="s">
        <v>42</v>
      </c>
      <c r="B6" s="3" t="s">
        <v>43</v>
      </c>
      <c r="C6" s="5" t="n">
        <v>203.5</v>
      </c>
      <c r="D6" s="3" t="s">
        <v>44</v>
      </c>
      <c r="E6" s="3" t="s">
        <v>45</v>
      </c>
    </row>
    <row r="7" customFormat="false" ht="15" hidden="false" customHeight="false" outlineLevel="0" collapsed="false">
      <c r="A7" s="4"/>
      <c r="B7" s="4"/>
      <c r="C7" s="4"/>
      <c r="D7" s="4"/>
      <c r="E7" s="4"/>
    </row>
    <row r="8" customFormat="false" ht="15" hidden="false" customHeight="false" outlineLevel="0" collapsed="false">
      <c r="A8" s="3"/>
      <c r="B8" s="3"/>
      <c r="C8" s="3"/>
      <c r="D8" s="3"/>
      <c r="E8" s="3"/>
    </row>
    <row r="9" customFormat="false" ht="15" hidden="false" customHeight="false" outlineLevel="0" collapsed="false">
      <c r="A9" s="4"/>
      <c r="B9" s="4"/>
      <c r="C9" s="4"/>
      <c r="D9" s="4"/>
      <c r="E9" s="4"/>
    </row>
    <row r="10" customFormat="false" ht="15" hidden="false" customHeight="false" outlineLevel="0" collapsed="false">
      <c r="A10" s="3"/>
      <c r="B10" s="3"/>
      <c r="C10" s="3"/>
      <c r="D10" s="3"/>
      <c r="E10" s="3"/>
    </row>
    <row r="11" customFormat="false" ht="15" hidden="false" customHeight="false" outlineLevel="0" collapsed="false">
      <c r="A11" s="4"/>
      <c r="B11" s="4"/>
      <c r="C11" s="4"/>
      <c r="D11" s="4"/>
      <c r="E11" s="4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4" min="2" style="0" width="20"/>
    <col collapsed="false" customWidth="true" hidden="false" outlineLevel="0" max="5" min="5" style="0" width="25"/>
  </cols>
  <sheetData>
    <row r="1" customFormat="false" ht="17.35" hidden="false" customHeight="false" outlineLevel="0" collapsed="false">
      <c r="A1" s="1" t="s">
        <v>46</v>
      </c>
      <c r="B1" s="1"/>
      <c r="C1" s="1"/>
      <c r="D1" s="1"/>
      <c r="E1" s="1"/>
    </row>
    <row r="3" customFormat="false" ht="15" hidden="false" customHeight="false" outlineLevel="0" collapsed="false">
      <c r="A3" s="2" t="s">
        <v>47</v>
      </c>
      <c r="B3" s="2" t="s">
        <v>48</v>
      </c>
      <c r="C3" s="2" t="s">
        <v>37</v>
      </c>
      <c r="D3" s="2" t="s">
        <v>49</v>
      </c>
      <c r="E3" s="2" t="s">
        <v>4</v>
      </c>
    </row>
    <row r="4" customFormat="false" ht="15" hidden="false" customHeight="false" outlineLevel="0" collapsed="false">
      <c r="A4" s="3" t="s">
        <v>50</v>
      </c>
      <c r="B4" s="3" t="s">
        <v>51</v>
      </c>
      <c r="C4" s="5" t="n">
        <v>1283.97</v>
      </c>
      <c r="D4" s="3" t="s">
        <v>52</v>
      </c>
      <c r="E4" s="3"/>
    </row>
    <row r="5" customFormat="false" ht="15" hidden="false" customHeight="false" outlineLevel="0" collapsed="false">
      <c r="A5" s="4" t="s">
        <v>53</v>
      </c>
      <c r="B5" s="4" t="s">
        <v>54</v>
      </c>
      <c r="C5" s="6" t="n">
        <v>418.94</v>
      </c>
      <c r="D5" s="4" t="s">
        <v>52</v>
      </c>
      <c r="E5" s="4"/>
    </row>
    <row r="6" customFormat="false" ht="15" hidden="false" customHeight="false" outlineLevel="0" collapsed="false">
      <c r="A6" s="3" t="s">
        <v>55</v>
      </c>
      <c r="B6" s="3" t="s">
        <v>54</v>
      </c>
      <c r="C6" s="5" t="n">
        <v>173.61</v>
      </c>
      <c r="D6" s="3" t="s">
        <v>52</v>
      </c>
      <c r="E6" s="3"/>
    </row>
    <row r="7" customFormat="false" ht="15" hidden="false" customHeight="false" outlineLevel="0" collapsed="false">
      <c r="A7" s="4" t="s">
        <v>56</v>
      </c>
      <c r="B7" s="4" t="s">
        <v>54</v>
      </c>
      <c r="C7" s="6" t="n">
        <v>318.83</v>
      </c>
      <c r="D7" s="4" t="s">
        <v>52</v>
      </c>
      <c r="E7" s="4"/>
    </row>
    <row r="8" customFormat="false" ht="15" hidden="false" customHeight="false" outlineLevel="0" collapsed="false">
      <c r="A8" s="3" t="s">
        <v>57</v>
      </c>
      <c r="B8" s="3" t="s">
        <v>51</v>
      </c>
      <c r="C8" s="5" t="n">
        <v>115.07</v>
      </c>
      <c r="D8" s="3" t="s">
        <v>52</v>
      </c>
      <c r="E8" s="3"/>
    </row>
    <row r="9" customFormat="false" ht="15" hidden="false" customHeight="false" outlineLevel="0" collapsed="false">
      <c r="A9" s="4" t="s">
        <v>58</v>
      </c>
      <c r="B9" s="4" t="s">
        <v>59</v>
      </c>
      <c r="C9" s="6" t="n">
        <v>176.85</v>
      </c>
      <c r="D9" s="4" t="s">
        <v>52</v>
      </c>
      <c r="E9" s="4"/>
    </row>
    <row r="10" customFormat="false" ht="15" hidden="false" customHeight="false" outlineLevel="0" collapsed="false">
      <c r="A10" s="3" t="s">
        <v>60</v>
      </c>
      <c r="B10" s="3" t="s">
        <v>59</v>
      </c>
      <c r="C10" s="5" t="n">
        <v>134.51</v>
      </c>
      <c r="D10" s="3" t="s">
        <v>61</v>
      </c>
      <c r="E10" s="3"/>
    </row>
    <row r="11" customFormat="false" ht="15" hidden="false" customHeight="false" outlineLevel="0" collapsed="false">
      <c r="A11" s="4" t="s">
        <v>62</v>
      </c>
      <c r="B11" s="4" t="s">
        <v>59</v>
      </c>
      <c r="C11" s="6" t="n">
        <v>120.1</v>
      </c>
      <c r="D11" s="4" t="s">
        <v>61</v>
      </c>
      <c r="E11" s="4"/>
    </row>
    <row r="12" customFormat="false" ht="15" hidden="false" customHeight="false" outlineLevel="0" collapsed="false">
      <c r="A12" s="3" t="s">
        <v>63</v>
      </c>
      <c r="B12" s="3" t="s">
        <v>64</v>
      </c>
      <c r="C12" s="5" t="n">
        <v>182</v>
      </c>
      <c r="D12" s="3" t="s">
        <v>52</v>
      </c>
      <c r="E12" s="3"/>
    </row>
    <row r="13" customFormat="false" ht="15" hidden="false" customHeight="false" outlineLevel="0" collapsed="false">
      <c r="A13" s="4" t="s">
        <v>65</v>
      </c>
      <c r="B13" s="4" t="s">
        <v>64</v>
      </c>
      <c r="C13" s="6" t="n">
        <v>98.55</v>
      </c>
      <c r="D13" s="4" t="s">
        <v>52</v>
      </c>
      <c r="E13" s="4"/>
    </row>
    <row r="14" customFormat="false" ht="15" hidden="false" customHeight="false" outlineLevel="0" collapsed="false">
      <c r="A14" s="3" t="s">
        <v>66</v>
      </c>
      <c r="B14" s="3" t="s">
        <v>54</v>
      </c>
      <c r="C14" s="5" t="n">
        <v>220.5</v>
      </c>
      <c r="D14" s="3" t="s">
        <v>61</v>
      </c>
      <c r="E14" s="3"/>
    </row>
    <row r="15" customFormat="false" ht="15" hidden="false" customHeight="false" outlineLevel="0" collapsed="false">
      <c r="A15" s="4" t="s">
        <v>67</v>
      </c>
      <c r="B15" s="4" t="s">
        <v>68</v>
      </c>
      <c r="C15" s="6" t="n">
        <v>24.13</v>
      </c>
      <c r="D15" s="4" t="s">
        <v>61</v>
      </c>
      <c r="E15" s="4"/>
    </row>
    <row r="16" customFormat="false" ht="15" hidden="false" customHeight="false" outlineLevel="0" collapsed="false">
      <c r="A16" s="3" t="s">
        <v>69</v>
      </c>
      <c r="B16" s="3" t="s">
        <v>68</v>
      </c>
      <c r="C16" s="5" t="n">
        <v>11.49</v>
      </c>
      <c r="D16" s="3" t="s">
        <v>61</v>
      </c>
      <c r="E16" s="3"/>
    </row>
    <row r="17" customFormat="false" ht="15" hidden="false" customHeight="false" outlineLevel="0" collapsed="false">
      <c r="A17" s="4" t="s">
        <v>70</v>
      </c>
      <c r="B17" s="4" t="s">
        <v>71</v>
      </c>
      <c r="C17" s="6" t="n">
        <v>78.28</v>
      </c>
      <c r="D17" s="4" t="s">
        <v>61</v>
      </c>
      <c r="E17" s="4" t="s">
        <v>72</v>
      </c>
    </row>
    <row r="18" customFormat="false" ht="15" hidden="false" customHeight="false" outlineLevel="0" collapsed="false">
      <c r="A18" s="3"/>
      <c r="B18" s="3"/>
      <c r="C18" s="3"/>
      <c r="D18" s="3"/>
      <c r="E18" s="3"/>
    </row>
    <row r="19" customFormat="false" ht="15" hidden="false" customHeight="false" outlineLevel="0" collapsed="false">
      <c r="A19" s="4"/>
      <c r="B19" s="4"/>
      <c r="C19" s="4"/>
      <c r="D19" s="4"/>
      <c r="E19" s="4"/>
    </row>
    <row r="20" customFormat="false" ht="15" hidden="false" customHeight="false" outlineLevel="0" collapsed="false">
      <c r="A20" s="3"/>
      <c r="B20" s="3"/>
      <c r="C20" s="3"/>
      <c r="D20" s="3"/>
      <c r="E20" s="3"/>
    </row>
    <row r="21" customFormat="false" ht="15" hidden="false" customHeight="false" outlineLevel="0" collapsed="false">
      <c r="A21" s="4"/>
      <c r="B21" s="4"/>
      <c r="C21" s="4"/>
      <c r="D21" s="4"/>
      <c r="E21" s="4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1" t="s">
        <v>73</v>
      </c>
      <c r="B1" s="1"/>
      <c r="C1" s="1"/>
      <c r="D1" s="1"/>
      <c r="E1" s="1"/>
    </row>
    <row r="2" customFormat="false" ht="15" hidden="false" customHeight="false" outlineLevel="0" collapsed="false">
      <c r="A2" s="7" t="s">
        <v>74</v>
      </c>
      <c r="B2" s="7"/>
      <c r="C2" s="7"/>
      <c r="D2" s="7"/>
      <c r="E2" s="7"/>
    </row>
    <row r="4" customFormat="false" ht="15" hidden="false" customHeight="false" outlineLevel="0" collapsed="false">
      <c r="A4" s="2" t="s">
        <v>48</v>
      </c>
      <c r="B4" s="2" t="s">
        <v>75</v>
      </c>
      <c r="C4" s="2" t="s">
        <v>76</v>
      </c>
      <c r="D4" s="2" t="s">
        <v>36</v>
      </c>
      <c r="E4" s="2" t="s">
        <v>4</v>
      </c>
    </row>
    <row r="5" customFormat="false" ht="15" hidden="false" customHeight="false" outlineLevel="0" collapsed="false">
      <c r="A5" s="4" t="s">
        <v>77</v>
      </c>
      <c r="B5" s="6" t="n">
        <v>800</v>
      </c>
      <c r="C5" s="6" t="n">
        <v>0</v>
      </c>
      <c r="D5" s="4" t="s">
        <v>78</v>
      </c>
      <c r="E5" s="4" t="s">
        <v>79</v>
      </c>
    </row>
    <row r="6" customFormat="false" ht="15" hidden="false" customHeight="false" outlineLevel="0" collapsed="false">
      <c r="A6" s="3" t="s">
        <v>80</v>
      </c>
      <c r="B6" s="5" t="n">
        <v>500</v>
      </c>
      <c r="C6" s="5" t="n">
        <v>0</v>
      </c>
      <c r="D6" s="3" t="s">
        <v>78</v>
      </c>
      <c r="E6" s="3"/>
    </row>
    <row r="7" customFormat="false" ht="15" hidden="false" customHeight="false" outlineLevel="0" collapsed="false">
      <c r="A7" s="4" t="s">
        <v>81</v>
      </c>
      <c r="B7" s="6" t="n">
        <v>200</v>
      </c>
      <c r="C7" s="6" t="n">
        <v>0</v>
      </c>
      <c r="D7" s="4" t="s">
        <v>78</v>
      </c>
      <c r="E7" s="4"/>
    </row>
    <row r="8" customFormat="false" ht="15" hidden="false" customHeight="false" outlineLevel="0" collapsed="false">
      <c r="A8" s="3" t="s">
        <v>82</v>
      </c>
      <c r="B8" s="5" t="n">
        <v>150</v>
      </c>
      <c r="C8" s="5" t="n">
        <v>0</v>
      </c>
      <c r="D8" s="3" t="s">
        <v>78</v>
      </c>
      <c r="E8" s="3" t="s">
        <v>83</v>
      </c>
    </row>
    <row r="9" customFormat="false" ht="15" hidden="false" customHeight="false" outlineLevel="0" collapsed="false">
      <c r="A9" s="4" t="s">
        <v>84</v>
      </c>
      <c r="B9" s="6" t="n">
        <v>200</v>
      </c>
      <c r="C9" s="6" t="n">
        <v>0</v>
      </c>
      <c r="D9" s="4" t="s">
        <v>78</v>
      </c>
      <c r="E9" s="4"/>
    </row>
    <row r="10" customFormat="false" ht="15" hidden="false" customHeight="false" outlineLevel="0" collapsed="false">
      <c r="A10" s="3" t="s">
        <v>85</v>
      </c>
      <c r="B10" s="5" t="n">
        <v>100</v>
      </c>
      <c r="C10" s="5" t="n">
        <v>0</v>
      </c>
      <c r="D10" s="3" t="s">
        <v>78</v>
      </c>
      <c r="E10" s="3"/>
    </row>
    <row r="11" customFormat="false" ht="15" hidden="false" customHeight="false" outlineLevel="0" collapsed="false">
      <c r="A11" s="4" t="s">
        <v>86</v>
      </c>
      <c r="B11" s="6" t="n">
        <v>100</v>
      </c>
      <c r="C11" s="6" t="n">
        <v>0</v>
      </c>
      <c r="D11" s="4" t="s">
        <v>22</v>
      </c>
      <c r="E11" s="4"/>
    </row>
    <row r="12" customFormat="false" ht="15" hidden="false" customHeight="false" outlineLevel="0" collapsed="false">
      <c r="A12" s="3" t="s">
        <v>86</v>
      </c>
      <c r="B12" s="5" t="n">
        <v>100</v>
      </c>
      <c r="C12" s="5" t="n">
        <v>0</v>
      </c>
      <c r="D12" s="3" t="s">
        <v>20</v>
      </c>
      <c r="E12" s="3"/>
    </row>
    <row r="13" customFormat="false" ht="15" hidden="false" customHeight="false" outlineLevel="0" collapsed="false">
      <c r="A13" s="4" t="s">
        <v>87</v>
      </c>
      <c r="B13" s="6" t="n">
        <v>150</v>
      </c>
      <c r="C13" s="6" t="n">
        <v>0</v>
      </c>
      <c r="D13" s="4" t="s">
        <v>78</v>
      </c>
      <c r="E13" s="4" t="s">
        <v>88</v>
      </c>
    </row>
    <row r="14" customFormat="false" ht="15" hidden="false" customHeight="false" outlineLevel="0" collapsed="false">
      <c r="A14" s="3" t="s">
        <v>89</v>
      </c>
      <c r="B14" s="5" t="n">
        <v>100</v>
      </c>
      <c r="C14" s="5" t="n">
        <v>0</v>
      </c>
      <c r="D14" s="3" t="s">
        <v>78</v>
      </c>
      <c r="E14" s="3"/>
    </row>
    <row r="15" customFormat="false" ht="15" hidden="false" customHeight="false" outlineLevel="0" collapsed="false">
      <c r="A15" s="4"/>
      <c r="B15" s="4"/>
      <c r="C15" s="4"/>
      <c r="D15" s="4"/>
      <c r="E15" s="4"/>
    </row>
    <row r="16" customFormat="false" ht="15" hidden="false" customHeight="false" outlineLevel="0" collapsed="false">
      <c r="A16" s="3"/>
      <c r="B16" s="3"/>
      <c r="C16" s="3"/>
      <c r="D16" s="3"/>
      <c r="E16" s="3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5"/>
    <col collapsed="false" customWidth="true" hidden="false" outlineLevel="0" max="3" min="3" style="0" width="20"/>
    <col collapsed="false" customWidth="true" hidden="false" outlineLevel="0" max="4" min="4" style="0" width="25"/>
    <col collapsed="false" customWidth="true" hidden="false" outlineLevel="0" max="5" min="5" style="0" width="20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90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7" t="s">
        <v>91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7" t="s">
        <v>92</v>
      </c>
      <c r="B3" s="7"/>
      <c r="C3" s="7"/>
      <c r="D3" s="7"/>
      <c r="E3" s="7"/>
      <c r="F3" s="7"/>
    </row>
    <row r="5" customFormat="false" ht="15" hidden="false" customHeight="false" outlineLevel="0" collapsed="false">
      <c r="A5" s="2" t="s">
        <v>47</v>
      </c>
      <c r="B5" s="2" t="s">
        <v>93</v>
      </c>
      <c r="C5" s="2" t="s">
        <v>94</v>
      </c>
      <c r="D5" s="2" t="s">
        <v>95</v>
      </c>
      <c r="E5" s="2" t="s">
        <v>49</v>
      </c>
      <c r="F5" s="2" t="s">
        <v>4</v>
      </c>
    </row>
    <row r="6" customFormat="false" ht="15" hidden="false" customHeight="false" outlineLevel="0" collapsed="false">
      <c r="A6" s="3" t="s">
        <v>96</v>
      </c>
      <c r="B6" s="5" t="n">
        <v>4200</v>
      </c>
      <c r="C6" s="5" t="n">
        <f aca="false">B6/12</f>
        <v>350</v>
      </c>
      <c r="D6" s="3" t="s">
        <v>97</v>
      </c>
      <c r="E6" s="3" t="s">
        <v>52</v>
      </c>
      <c r="F6" s="3" t="s">
        <v>98</v>
      </c>
    </row>
    <row r="7" customFormat="false" ht="15" hidden="false" customHeight="false" outlineLevel="0" collapsed="false">
      <c r="A7" s="4" t="s">
        <v>99</v>
      </c>
      <c r="B7" s="6" t="n">
        <v>350</v>
      </c>
      <c r="C7" s="6" t="n">
        <f aca="false">B7/12</f>
        <v>29.1666666666667</v>
      </c>
      <c r="D7" s="4" t="s">
        <v>100</v>
      </c>
      <c r="E7" s="4" t="s">
        <v>52</v>
      </c>
      <c r="F7" s="4"/>
    </row>
    <row r="8" customFormat="false" ht="15" hidden="false" customHeight="false" outlineLevel="0" collapsed="false">
      <c r="A8" s="3" t="s">
        <v>101</v>
      </c>
      <c r="B8" s="5" t="n">
        <v>2000</v>
      </c>
      <c r="C8" s="5" t="n">
        <f aca="false">B8/12</f>
        <v>166.666666666667</v>
      </c>
      <c r="D8" s="3" t="s">
        <v>102</v>
      </c>
      <c r="E8" s="3" t="s">
        <v>52</v>
      </c>
      <c r="F8" s="3" t="s">
        <v>103</v>
      </c>
    </row>
    <row r="9" customFormat="false" ht="15" hidden="false" customHeight="false" outlineLevel="0" collapsed="false">
      <c r="A9" s="4" t="s">
        <v>104</v>
      </c>
      <c r="B9" s="6" t="n">
        <v>800</v>
      </c>
      <c r="C9" s="6" t="n">
        <f aca="false">B9/12</f>
        <v>66.6666666666667</v>
      </c>
      <c r="D9" s="4" t="s">
        <v>105</v>
      </c>
      <c r="E9" s="4" t="s">
        <v>61</v>
      </c>
      <c r="F9" s="4" t="s">
        <v>106</v>
      </c>
    </row>
    <row r="10" customFormat="false" ht="15" hidden="false" customHeight="false" outlineLevel="0" collapsed="false">
      <c r="A10" s="3" t="s">
        <v>107</v>
      </c>
      <c r="B10" s="5" t="n">
        <v>1000</v>
      </c>
      <c r="C10" s="5" t="n">
        <f aca="false">B10/12</f>
        <v>83.3333333333333</v>
      </c>
      <c r="D10" s="3" t="s">
        <v>108</v>
      </c>
      <c r="E10" s="3" t="s">
        <v>61</v>
      </c>
      <c r="F10" s="3"/>
    </row>
    <row r="11" customFormat="false" ht="15" hidden="false" customHeight="false" outlineLevel="0" collapsed="false">
      <c r="A11" s="4" t="s">
        <v>109</v>
      </c>
      <c r="B11" s="6" t="n">
        <v>1500</v>
      </c>
      <c r="C11" s="6" t="n">
        <f aca="false">B11/12</f>
        <v>125</v>
      </c>
      <c r="D11" s="4" t="s">
        <v>110</v>
      </c>
      <c r="E11" s="4" t="s">
        <v>61</v>
      </c>
      <c r="F11" s="4" t="s">
        <v>111</v>
      </c>
    </row>
    <row r="12" customFormat="false" ht="15" hidden="false" customHeight="false" outlineLevel="0" collapsed="false">
      <c r="A12" s="3" t="s">
        <v>112</v>
      </c>
      <c r="B12" s="5" t="n">
        <v>1000</v>
      </c>
      <c r="C12" s="5" t="n">
        <f aca="false">B12/12</f>
        <v>83.3333333333333</v>
      </c>
      <c r="D12" s="3" t="s">
        <v>110</v>
      </c>
      <c r="E12" s="3" t="s">
        <v>52</v>
      </c>
      <c r="F12" s="3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</row>
    <row r="14" customFormat="false" ht="15" hidden="false" customHeight="false" outlineLevel="0" collapsed="false">
      <c r="A14" s="3"/>
      <c r="B14" s="3"/>
      <c r="C14" s="3"/>
      <c r="D14" s="3"/>
      <c r="E14" s="3"/>
      <c r="F14" s="3"/>
    </row>
    <row r="15" customFormat="false" ht="15" hidden="false" customHeight="false" outlineLevel="0" collapsed="false">
      <c r="A15" s="8" t="s">
        <v>113</v>
      </c>
      <c r="B15" s="9" t="n">
        <f aca="false">SUM(B6:B14)</f>
        <v>10850</v>
      </c>
      <c r="C15" s="9" t="n">
        <f aca="false">SUM(C6:C14)</f>
        <v>904.166666666667</v>
      </c>
    </row>
  </sheetData>
  <mergeCells count="3">
    <mergeCell ref="A1:F1"/>
    <mergeCell ref="A2:F2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25"/>
  </cols>
  <sheetData>
    <row r="1" customFormat="false" ht="17.35" hidden="false" customHeight="false" outlineLevel="0" collapsed="false">
      <c r="A1" s="1" t="s">
        <v>114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115</v>
      </c>
      <c r="B3" s="2" t="s">
        <v>116</v>
      </c>
      <c r="C3" s="2" t="s">
        <v>117</v>
      </c>
      <c r="D3" s="2" t="s">
        <v>118</v>
      </c>
      <c r="E3" s="2" t="s">
        <v>119</v>
      </c>
    </row>
    <row r="4" customFormat="false" ht="15" hidden="false" customHeight="false" outlineLevel="0" collapsed="false">
      <c r="A4" s="3" t="s">
        <v>120</v>
      </c>
      <c r="B4" s="5" t="n">
        <v>5200</v>
      </c>
      <c r="C4" s="3" t="s">
        <v>121</v>
      </c>
      <c r="D4" s="3" t="n">
        <v>0</v>
      </c>
      <c r="E4" s="3"/>
    </row>
    <row r="5" customFormat="false" ht="15" hidden="false" customHeight="false" outlineLevel="0" collapsed="false">
      <c r="A5" s="4" t="s">
        <v>122</v>
      </c>
      <c r="B5" s="6" t="n">
        <v>8000</v>
      </c>
      <c r="C5" s="4" t="s">
        <v>123</v>
      </c>
      <c r="D5" s="6" t="n">
        <v>1500</v>
      </c>
      <c r="E5" s="4"/>
    </row>
    <row r="6" customFormat="false" ht="15" hidden="false" customHeight="false" outlineLevel="0" collapsed="false">
      <c r="A6" s="3" t="s">
        <v>124</v>
      </c>
      <c r="B6" s="5" t="n">
        <v>10000</v>
      </c>
      <c r="C6" s="3" t="s">
        <v>125</v>
      </c>
      <c r="D6" s="3" t="n">
        <v>0</v>
      </c>
      <c r="E6" s="3"/>
    </row>
    <row r="7" customFormat="false" ht="15" hidden="false" customHeight="false" outlineLevel="0" collapsed="false">
      <c r="A7" s="4" t="s">
        <v>126</v>
      </c>
      <c r="B7" s="6" t="n">
        <v>5000</v>
      </c>
      <c r="C7" s="4" t="s">
        <v>127</v>
      </c>
      <c r="D7" s="6" t="n">
        <v>800</v>
      </c>
      <c r="E7" s="4"/>
    </row>
    <row r="8" customFormat="false" ht="15" hidden="false" customHeight="false" outlineLevel="0" collapsed="false">
      <c r="A8" s="3"/>
      <c r="B8" s="3"/>
      <c r="C8" s="3"/>
      <c r="D8" s="3"/>
      <c r="E8" s="3"/>
    </row>
    <row r="9" customFormat="false" ht="15" hidden="false" customHeight="false" outlineLevel="0" collapsed="false">
      <c r="A9" s="4"/>
      <c r="B9" s="4"/>
      <c r="C9" s="4"/>
      <c r="D9" s="4"/>
      <c r="E9" s="4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2026-06-07T23:33:46Z</dcterms:created>
  <dc:creator>openpyxl</dc:creator>
  <dc:description/>
  <dc:language>en-US</dc:language>
  <cp:lastModifiedBy/>
  <dcterms:modified xsi:type="dcterms:W3CDTF">2026-06-07T23:33:46Z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